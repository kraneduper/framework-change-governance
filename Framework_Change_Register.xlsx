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 Register" sheetId="1" state="visible" r:id="rId3"/>
    <sheet name="Dashboard" sheetId="2" state="visible" r:id="rId4"/>
    <sheet name="Triage Criteria Reference" sheetId="3" state="visible" r:id="rId5"/>
  </sheets>
  <definedNames>
    <definedName function="false" hidden="true" localSheetId="0" name="_xlnm._FilterDatabase" vbProcedure="false">'Change Register'!$A$1:$W$200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<sst xmlns="http://schemas.openxmlformats.org/spreadsheetml/2006/main" count="136" uniqueCount="107">
  <si>
    <t xml:space="preserve">Ref #</t>
  </si>
  <si>
    <t xml:space="preserve">Date Identified</t>
  </si>
  <si>
    <t xml:space="preserve">Source</t>
  </si>
  <si>
    <t xml:space="preserve">Framework / Regulation</t>
  </si>
  <si>
    <t xml:space="preserve">Change Description</t>
  </si>
  <si>
    <t xml:space="preserve">Change Type</t>
  </si>
  <si>
    <t xml:space="preserve">Initial Relevance</t>
  </si>
  <si>
    <t xml:space="preserve">Analyst</t>
  </si>
  <si>
    <t xml:space="preserve">Change Brief Prepared?</t>
  </si>
  <si>
    <t xml:space="preserve">Triage Date</t>
  </si>
  <si>
    <t xml:space="preserve">Control Mapping Impact</t>
  </si>
  <si>
    <t xml:space="preserve">New Requirements Impact</t>
  </si>
  <si>
    <t xml:space="preserve">Regulatory Impact</t>
  </si>
  <si>
    <t xml:space="preserve">Evidence Impact</t>
  </si>
  <si>
    <t xml:space="preserve">Overall Rating</t>
  </si>
  <si>
    <t xml:space="preserve">Escalation Route</t>
  </si>
  <si>
    <t xml:space="preserve">Decision</t>
  </si>
  <si>
    <t xml:space="preserve">Decision Date</t>
  </si>
  <si>
    <t xml:space="preserve">Policy Owner Assigned</t>
  </si>
  <si>
    <t xml:space="preserve">Target Completion</t>
  </si>
  <si>
    <t xml:space="preserve">Status</t>
  </si>
  <si>
    <t xml:space="preserve">Closure Date</t>
  </si>
  <si>
    <t xml:space="preserve">Closure Rationale / Notes</t>
  </si>
  <si>
    <t xml:space="preserve">FCR-001</t>
  </si>
  <si>
    <t xml:space="preserve">26/02/2024</t>
  </si>
  <si>
    <t xml:space="preserve">NIST CSRC Publication Alert</t>
  </si>
  <si>
    <t xml:space="preserve">NIST CSF</t>
  </si>
  <si>
    <t xml:space="preserve">NIST Cybersecurity Framework updated from v1.1 to v2.0. New Govern (GV) function introduced. Subcategories restructured. Informative references updated. Scope expanded beyond critical infrastructure.</t>
  </si>
  <si>
    <t xml:space="preserve">Major version release</t>
  </si>
  <si>
    <t xml:space="preserve">Relevant</t>
  </si>
  <si>
    <t xml:space="preserve">J. Smith</t>
  </si>
  <si>
    <t xml:space="preserve">Yes</t>
  </si>
  <si>
    <t xml:space="preserve">04/03/2024</t>
  </si>
  <si>
    <t xml:space="preserve">High</t>
  </si>
  <si>
    <t xml:space="preserve">Medium</t>
  </si>
  <si>
    <t xml:space="preserve">Significant</t>
  </si>
  <si>
    <t xml:space="preserve">IS Governance Committee</t>
  </si>
  <si>
    <t xml:space="preserve">Approved – full update programme</t>
  </si>
  <si>
    <t xml:space="preserve">11/03/2024</t>
  </si>
  <si>
    <t xml:space="preserve">A. Johnson</t>
  </si>
  <si>
    <t xml:space="preserve">10/06/2024</t>
  </si>
  <si>
    <t xml:space="preserve">Closed</t>
  </si>
  <si>
    <t xml:space="preserve">All policies updated to CSF 2.0. Govern function addressed in new Cybersecurity Governance Policy. Crosswalk completed. Assurance verification confirmed embedding.</t>
  </si>
  <si>
    <t xml:space="preserve">FCR-002</t>
  </si>
  <si>
    <t xml:space="preserve">15/05/2024</t>
  </si>
  <si>
    <t xml:space="preserve">PRA Regulatory Updates Email</t>
  </si>
  <si>
    <t xml:space="preserve">PRA SS2/21</t>
  </si>
  <si>
    <t xml:space="preserve">PRA published updated supervisory statement SS2/21 with minor clarifications on mapping and reporting expectations for operational resilience. No new requirements introduced.</t>
  </si>
  <si>
    <t xml:space="preserve">Minor update</t>
  </si>
  <si>
    <t xml:space="preserve">20/05/2024</t>
  </si>
  <si>
    <t xml:space="preserve">Low</t>
  </si>
  <si>
    <t xml:space="preserve">GRC team sign-off</t>
  </si>
  <si>
    <t xml:space="preserve">Closed – no policy update required</t>
  </si>
  <si>
    <t xml:space="preserve">22/05/2024</t>
  </si>
  <si>
    <t xml:space="preserve">Editorial clarifications only. No impact on current policy alignment. Logged for audit trail.</t>
  </si>
  <si>
    <t xml:space="preserve">FCR-003</t>
  </si>
  <si>
    <t xml:space="preserve">03/09/2024</t>
  </si>
  <si>
    <t xml:space="preserve">NIST CSF 2.0</t>
  </si>
  <si>
    <t xml:space="preserve">NIST published updated Quick Start Guides and Community Profile templates for CSF 2.0 implementation support.</t>
  </si>
  <si>
    <t xml:space="preserve">Supplementary guidance</t>
  </si>
  <si>
    <t xml:space="preserve">Not relevant</t>
  </si>
  <si>
    <t xml:space="preserve">No</t>
  </si>
  <si>
    <t xml:space="preserve">Implementation guidance only. No change to framework requirements. No triage required.</t>
  </si>
  <si>
    <t xml:space="preserve">Framework Change Register – Summary Dashboard</t>
  </si>
  <si>
    <t xml:space="preserve">Total Changes Logged</t>
  </si>
  <si>
    <t xml:space="preserve">Open Items</t>
  </si>
  <si>
    <t xml:space="preserve">Closed Items</t>
  </si>
  <si>
    <t xml:space="preserve">By Overall Rating</t>
  </si>
  <si>
    <t xml:space="preserve">By Status</t>
  </si>
  <si>
    <t xml:space="preserve">Open</t>
  </si>
  <si>
    <t xml:space="preserve">In triage</t>
  </si>
  <si>
    <t xml:space="preserve">Escalated</t>
  </si>
  <si>
    <t xml:space="preserve">In progress</t>
  </si>
  <si>
    <t xml:space="preserve">Triage Criteria Reference Guide</t>
  </si>
  <si>
    <t xml:space="preserve">Criterion</t>
  </si>
  <si>
    <t xml:space="preserve">Description</t>
  </si>
  <si>
    <t xml:space="preserve">Control mapping impact</t>
  </si>
  <si>
    <t xml:space="preserve">Does the change affect controls currently mapped to our policy framework?</t>
  </si>
  <si>
    <t xml:space="preserve">Structural changes to categories or subcategories</t>
  </si>
  <si>
    <t xml:space="preserve">Renumbering or reorganisation only</t>
  </si>
  <si>
    <t xml:space="preserve">Editorial or cosmetic changes</t>
  </si>
  <si>
    <t xml:space="preserve">New requirements</t>
  </si>
  <si>
    <t xml:space="preserve">Does the change introduce requirements not currently addressed?</t>
  </si>
  <si>
    <t xml:space="preserve">New function or category introduced</t>
  </si>
  <si>
    <t xml:space="preserve">New subcategories under existing functions</t>
  </si>
  <si>
    <t xml:space="preserve">Expanded guidance only</t>
  </si>
  <si>
    <t xml:space="preserve">Regulatory impact</t>
  </si>
  <si>
    <t xml:space="preserve">Does the change affect how we evidence compliance with PRA, FCA, or other regulatory obligations?</t>
  </si>
  <si>
    <t xml:space="preserve">Direct regulatory reference to the framework</t>
  </si>
  <si>
    <t xml:space="preserve">Indirect (used to evidence compliance)</t>
  </si>
  <si>
    <t xml:space="preserve">No regulatory linkage</t>
  </si>
  <si>
    <t xml:space="preserve">Evidence and reporting</t>
  </si>
  <si>
    <t xml:space="preserve">Does the change affect how we report, measure, or evidence compliance?</t>
  </si>
  <si>
    <t xml:space="preserve">Assessment methodology changed</t>
  </si>
  <si>
    <t xml:space="preserve">Informative references or mappings updated</t>
  </si>
  <si>
    <t xml:space="preserve">No change to evidence approach</t>
  </si>
  <si>
    <t xml:space="preserve">Escalation Matrix</t>
  </si>
  <si>
    <t xml:space="preserve">Action</t>
  </si>
  <si>
    <t xml:space="preserve">Governance Route</t>
  </si>
  <si>
    <t xml:space="preserve">Timeline</t>
  </si>
  <si>
    <t xml:space="preserve">Log and close. GRC analyst documents rationale.</t>
  </si>
  <si>
    <t xml:space="preserve">5 working days</t>
  </si>
  <si>
    <t xml:space="preserve">Targeted policy amendments. Policy owner drafts changes.</t>
  </si>
  <si>
    <t xml:space="preserve">Policy owner approval with GRC review</t>
  </si>
  <si>
    <t xml:space="preserve">20 working days</t>
  </si>
  <si>
    <t xml:space="preserve">Full policy update programme. Gap analysis, stakeholder consultation, board approval.</t>
  </si>
  <si>
    <t xml:space="preserve">60–90 working days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</si>
</sst>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B4F7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b val="true"/>
      <sz val="12"/>
      <color rgb="FF1B4F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4F72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27AE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4" min="11" style="0" width="16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18"/>
    <col collapsed="false" customWidth="true" hidden="false" outlineLevel="0" max="22" min="20" style="0" width="14"/>
    <col collapsed="false" customWidth="true" hidden="false" outlineLevel="0" max="23" min="23" style="0" width="35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57.4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33</v>
      </c>
      <c r="M2" s="2" t="s">
        <v>34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40</v>
      </c>
      <c r="W2" s="2" t="s">
        <v>42</v>
      </c>
    </row>
    <row r="3" customFormat="false" ht="46.25" hidden="false" customHeight="false" outlineLevel="0" collapsed="false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29</v>
      </c>
      <c r="H3" s="3" t="s">
        <v>30</v>
      </c>
      <c r="I3" s="3" t="s">
        <v>31</v>
      </c>
      <c r="J3" s="3" t="s">
        <v>49</v>
      </c>
      <c r="K3" s="3" t="s">
        <v>50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51</v>
      </c>
      <c r="Q3" s="3" t="s">
        <v>52</v>
      </c>
      <c r="R3" s="3" t="s">
        <v>53</v>
      </c>
      <c r="S3" s="3"/>
      <c r="T3" s="3"/>
      <c r="U3" s="3" t="s">
        <v>41</v>
      </c>
      <c r="V3" s="3" t="s">
        <v>53</v>
      </c>
      <c r="W3" s="3" t="s">
        <v>54</v>
      </c>
    </row>
    <row r="4" customFormat="false" ht="35.05" hidden="false" customHeight="false" outlineLevel="0" collapsed="false">
      <c r="A4" s="2" t="s">
        <v>55</v>
      </c>
      <c r="B4" s="2" t="s">
        <v>56</v>
      </c>
      <c r="C4" s="2" t="s">
        <v>25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30</v>
      </c>
      <c r="I4" s="2" t="s">
        <v>61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41</v>
      </c>
      <c r="V4" s="2" t="s">
        <v>56</v>
      </c>
      <c r="W4" s="2" t="s">
        <v>62</v>
      </c>
    </row>
  </sheetData>
  <autoFilter ref="A1:W200"/>
  <dataValidations count="7">
    <dataValidation allowBlank="true" error="Select from dropdown" errorStyle="stop" operator="between" prompt="Select initial relevance" showDropDown="false" showErrorMessage="false" showInputMessage="false" sqref="G2:G200" type="list">
      <formula1>"Relevant,Not relevant,Requires further review"</formula1>
      <formula2>0</formula2>
    </dataValidation>
    <dataValidation allowBlank="true" errorStyle="stop" operator="between" showDropDown="false" showErrorMessage="false" showInputMessage="false" sqref="K2:N200" type="list">
      <formula1>"High,Medium,Low,N/A"</formula1>
      <formula2>0</formula2>
    </dataValidation>
    <dataValidation allowBlank="true" errorStyle="stop" operator="between" showDropDown="false" showErrorMessage="false" showInputMessage="false" sqref="O2:O200" type="list">
      <formula1>"Significant,Medium,Low"</formula1>
      <formula2>0</formula2>
    </dataValidation>
    <dataValidation allowBlank="true" errorStyle="stop" operator="between" showDropDown="false" showErrorMessage="false" showInputMessage="false" sqref="U2:U200" type="list">
      <formula1>"Open,In triage,Escalated,In progress,Closed"</formula1>
      <formula2>0</formula2>
    </dataValidation>
    <dataValidation allowBlank="true" errorStyle="stop" operator="between" showDropDown="false" showErrorMessage="false" showInputMessage="false" sqref="I2:I200" type="list">
      <formula1>"Yes,No,N/A"</formula1>
      <formula2>0</formula2>
    </dataValidation>
    <dataValidation allowBlank="true" errorStyle="stop" operator="between" showDropDown="false" showErrorMessage="false" showInputMessage="false" sqref="F2:F200" type="list">
      <formula1>"Major version release,Minor update,Supplementary guidance,New regulation,Consultation paper,Supervisory statement,Draft for comment"</formula1>
      <formula2>0</formula2>
    </dataValidation>
    <dataValidation allowBlank="true" errorStyle="stop" operator="between" showDropDown="false" showErrorMessage="false" showInputMessage="false" sqref="P2:P200" type="list">
      <formula1>"IS Governance Committee,GRC team sign-off,Policy owner approval with GRC review,N/A"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4" t="s">
        <v>63</v>
      </c>
    </row>
    <row r="3" customFormat="false" ht="15" hidden="false" customHeight="false" outlineLevel="0" collapsed="false">
      <c r="A3" s="5" t="s">
        <v>64</v>
      </c>
      <c r="B3" s="6" t="n">
        <f aca="false">COUNTA('Change Register'!A2:A200)</f>
        <v>3</v>
      </c>
    </row>
    <row r="4" customFormat="false" ht="15" hidden="false" customHeight="false" outlineLevel="0" collapsed="false">
      <c r="A4" s="5" t="s">
        <v>65</v>
      </c>
      <c r="B4" s="6" t="n">
        <f aca="false">COUNTIF('Change Register'!U2:U200,"Open")+COUNTIF('Change Register'!U2:U200,"In triage")+COUNTIF('Change Register'!U2:U200,"Escalated")+COUNTIF('Change Register'!U2:U200,"In progress")</f>
        <v>0</v>
      </c>
    </row>
    <row r="5" customFormat="false" ht="15" hidden="false" customHeight="false" outlineLevel="0" collapsed="false">
      <c r="A5" s="5" t="s">
        <v>66</v>
      </c>
      <c r="B5" s="6" t="n">
        <f aca="false">COUNTIF('Change Register'!U2:U200,"Closed")</f>
        <v>3</v>
      </c>
    </row>
    <row r="6" customFormat="false" ht="15" hidden="false" customHeight="false" outlineLevel="0" collapsed="false">
      <c r="B6" s="6"/>
    </row>
    <row r="7" customFormat="false" ht="15" hidden="false" customHeight="false" outlineLevel="0" collapsed="false">
      <c r="A7" s="7" t="s">
        <v>67</v>
      </c>
      <c r="B7" s="6"/>
    </row>
    <row r="8" customFormat="false" ht="15" hidden="false" customHeight="false" outlineLevel="0" collapsed="false">
      <c r="A8" s="8" t="s">
        <v>35</v>
      </c>
      <c r="B8" s="6" t="n">
        <f aca="false">COUNTIF('Change Register'!O2:O200,"Significant")</f>
        <v>1</v>
      </c>
    </row>
    <row r="9" customFormat="false" ht="15" hidden="false" customHeight="false" outlineLevel="0" collapsed="false">
      <c r="A9" s="8" t="s">
        <v>34</v>
      </c>
      <c r="B9" s="6" t="n">
        <f aca="false">COUNTIF('Change Register'!O2:O200,"Medium")</f>
        <v>0</v>
      </c>
    </row>
    <row r="10" customFormat="false" ht="15" hidden="false" customHeight="false" outlineLevel="0" collapsed="false">
      <c r="A10" s="8" t="s">
        <v>50</v>
      </c>
      <c r="B10" s="6" t="n">
        <f aca="false">COUNTIF('Change Register'!O2:O200,"Low")</f>
        <v>1</v>
      </c>
    </row>
    <row r="11" customFormat="false" ht="15" hidden="false" customHeight="false" outlineLevel="0" collapsed="false">
      <c r="B11" s="6"/>
    </row>
    <row r="12" customFormat="false" ht="15" hidden="false" customHeight="false" outlineLevel="0" collapsed="false">
      <c r="A12" s="7" t="s">
        <v>68</v>
      </c>
      <c r="B12" s="6"/>
    </row>
    <row r="13" customFormat="false" ht="15" hidden="false" customHeight="false" outlineLevel="0" collapsed="false">
      <c r="A13" s="8" t="s">
        <v>69</v>
      </c>
      <c r="B13" s="6" t="n">
        <f aca="false">COUNTIF('Change Register'!U2:U200,"Open")</f>
        <v>0</v>
      </c>
    </row>
    <row r="14" customFormat="false" ht="15" hidden="false" customHeight="false" outlineLevel="0" collapsed="false">
      <c r="A14" s="8" t="s">
        <v>70</v>
      </c>
      <c r="B14" s="6" t="n">
        <f aca="false">COUNTIF('Change Register'!U2:U200,"In triage")</f>
        <v>0</v>
      </c>
    </row>
    <row r="15" customFormat="false" ht="15" hidden="false" customHeight="false" outlineLevel="0" collapsed="false">
      <c r="A15" s="8" t="s">
        <v>71</v>
      </c>
      <c r="B15" s="6" t="n">
        <f aca="false">COUNTIF('Change Register'!U2:U200,"Escalated")</f>
        <v>0</v>
      </c>
    </row>
    <row r="16" customFormat="false" ht="15" hidden="false" customHeight="false" outlineLevel="0" collapsed="false">
      <c r="A16" s="8" t="s">
        <v>72</v>
      </c>
      <c r="B16" s="6" t="n">
        <f aca="false">COUNTIF('Change Register'!U2:U200,"In progress")</f>
        <v>0</v>
      </c>
    </row>
    <row r="17" customFormat="false" ht="15" hidden="false" customHeight="false" outlineLevel="0" collapsed="false">
      <c r="A17" s="8" t="s">
        <v>41</v>
      </c>
      <c r="B17" s="6" t="n">
        <f aca="false">COUNTIF('Change Register'!U2:U200,"Closed")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4" min="3" style="0" width="30"/>
    <col collapsed="false" customWidth="true" hidden="false" outlineLevel="0" max="5" min="5" style="0" width="25"/>
  </cols>
  <sheetData>
    <row r="1" customFormat="false" ht="17.35" hidden="false" customHeight="false" outlineLevel="0" collapsed="false">
      <c r="A1" s="4" t="s">
        <v>73</v>
      </c>
    </row>
    <row r="3" customFormat="false" ht="15" hidden="false" customHeight="false" outlineLevel="0" collapsed="false">
      <c r="A3" s="9" t="s">
        <v>74</v>
      </c>
      <c r="B3" s="9" t="s">
        <v>75</v>
      </c>
      <c r="C3" s="9" t="s">
        <v>33</v>
      </c>
      <c r="D3" s="9" t="s">
        <v>34</v>
      </c>
      <c r="E3" s="9" t="s">
        <v>50</v>
      </c>
    </row>
    <row r="4" customFormat="false" ht="23.85" hidden="false" customHeight="false" outlineLevel="0" collapsed="false">
      <c r="A4" s="2" t="s">
        <v>76</v>
      </c>
      <c r="B4" s="2" t="s">
        <v>77</v>
      </c>
      <c r="C4" s="2" t="s">
        <v>78</v>
      </c>
      <c r="D4" s="2" t="s">
        <v>79</v>
      </c>
      <c r="E4" s="2" t="s">
        <v>80</v>
      </c>
    </row>
    <row r="5" customFormat="false" ht="23.85" hidden="false" customHeight="false" outlineLevel="0" collapsed="false">
      <c r="A5" s="3" t="s">
        <v>81</v>
      </c>
      <c r="B5" s="3" t="s">
        <v>82</v>
      </c>
      <c r="C5" s="3" t="s">
        <v>83</v>
      </c>
      <c r="D5" s="3" t="s">
        <v>84</v>
      </c>
      <c r="E5" s="3" t="s">
        <v>85</v>
      </c>
    </row>
    <row r="6" customFormat="false" ht="35.05" hidden="false" customHeight="false" outlineLevel="0" collapsed="false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</row>
    <row r="7" customFormat="false" ht="23.85" hidden="false" customHeight="false" outlineLevel="0" collapsed="false">
      <c r="A7" s="3" t="s">
        <v>91</v>
      </c>
      <c r="B7" s="3" t="s">
        <v>92</v>
      </c>
      <c r="C7" s="3" t="s">
        <v>93</v>
      </c>
      <c r="D7" s="3" t="s">
        <v>94</v>
      </c>
      <c r="E7" s="3" t="s">
        <v>95</v>
      </c>
    </row>
    <row r="9" customFormat="false" ht="15" hidden="false" customHeight="false" outlineLevel="0" collapsed="false">
      <c r="A9" s="10" t="s">
        <v>96</v>
      </c>
    </row>
    <row r="11" customFormat="false" ht="15" hidden="false" customHeight="false" outlineLevel="0" collapsed="false">
      <c r="A11" s="9" t="s">
        <v>14</v>
      </c>
      <c r="B11" s="9" t="s">
        <v>97</v>
      </c>
      <c r="C11" s="9" t="s">
        <v>98</v>
      </c>
      <c r="D11" s="9" t="s">
        <v>99</v>
      </c>
    </row>
    <row r="12" customFormat="false" ht="23.85" hidden="false" customHeight="false" outlineLevel="0" collapsed="false">
      <c r="A12" s="2" t="s">
        <v>50</v>
      </c>
      <c r="B12" s="2" t="s">
        <v>100</v>
      </c>
      <c r="C12" s="2" t="s">
        <v>51</v>
      </c>
      <c r="D12" s="2" t="s">
        <v>101</v>
      </c>
    </row>
    <row r="13" customFormat="false" ht="23.85" hidden="false" customHeight="false" outlineLevel="0" collapsed="false">
      <c r="A13" s="3" t="s">
        <v>34</v>
      </c>
      <c r="B13" s="3" t="s">
        <v>102</v>
      </c>
      <c r="C13" s="3" t="s">
        <v>103</v>
      </c>
      <c r="D13" s="3" t="s">
        <v>104</v>
      </c>
    </row>
    <row r="14" customFormat="false" ht="35.05" hidden="false" customHeight="false" outlineLevel="0" collapsed="false">
      <c r="A14" s="2" t="s">
        <v>35</v>
      </c>
      <c r="B14" s="2" t="s">
        <v>105</v>
      </c>
      <c r="C14" s="2" t="s">
        <v>36</v>
      </c>
      <c r="D14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2026-03-26T21:03:27Z</dcterms:created>
  <dc:creator>openpyxl</dc:creator>
  <dc:description/>
  <dc:language>en-US</dc:language>
  <cp:lastModifiedBy/>
  <dcterms:modified xsi:type="dcterms:W3CDTF">2026-03-26T21:03:27Z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